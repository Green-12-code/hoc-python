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17E7AA8-2789-481D-A5B7-8323F2BFD2CB}" xr6:coauthVersionLast="47" xr6:coauthVersionMax="47" xr10:uidLastSave="{00000000-0000-0000-0000-000000000000}"/>
  <bookViews>
    <workbookView xWindow="-110" yWindow="-110" windowWidth="19420" windowHeight="11500" activeTab="1" xr2:uid="{7DE53A42-AE68-4C5C-90E2-5D866724654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K7" i="1" a="1"/>
  <c r="K7" i="1" s="1"/>
  <c r="P6" i="1"/>
  <c r="O6" i="1"/>
  <c r="N6" i="1"/>
  <c r="M6" i="1"/>
  <c r="B6" i="1"/>
  <c r="B6" i="1" a="1"/>
  <c r="P5" i="1"/>
  <c r="O5" i="1"/>
  <c r="M5" i="1"/>
  <c r="O4" i="1"/>
  <c r="N4" i="1"/>
  <c r="M4" i="1"/>
  <c r="B4" i="1" a="1"/>
  <c r="B4" i="1" s="1"/>
  <c r="P4" i="1" s="1"/>
  <c r="A1" i="1" a="1"/>
  <c r="A1" i="1" s="1"/>
  <c r="E9" i="1"/>
  <c r="D11" i="1"/>
  <c r="D12" i="1"/>
  <c r="D9" i="1"/>
  <c r="F9" i="1"/>
  <c r="G9" i="1"/>
  <c r="H9" i="1"/>
  <c r="C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<sst xmlns="http://schemas.openxmlformats.org/spreadsheetml/2006/main" count="20" uniqueCount="19">
  <si>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 xml:space="preserve">Tên hàng </t>
  </si>
  <si>
    <t xml:space="preserve">Loại hàng </t>
  </si>
  <si>
    <t xml:space="preserve">Số lượng </t>
  </si>
  <si>
    <t xml:space="preserve">Giá </t>
  </si>
  <si>
    <t xml:space="preserve">Trị giá </t>
  </si>
  <si>
    <t xml:space="preserve">Thuế </t>
  </si>
  <si>
    <t xml:space="preserve">Phí vận chuyển </t>
  </si>
  <si>
    <t xml:space="preserve">Tiền </t>
  </si>
  <si>
    <t>Tivi</t>
  </si>
  <si>
    <t xml:space="preserve">Tủ lạnh </t>
  </si>
  <si>
    <t xml:space="preserve">Máy giặt </t>
  </si>
  <si>
    <t xml:space="preserve">Điều hòa </t>
  </si>
  <si>
    <t xml:space="preserve">Điện thoại </t>
  </si>
  <si>
    <t>A</t>
  </si>
  <si>
    <t xml:space="preserve">C </t>
  </si>
  <si>
    <t>D</t>
  </si>
  <si>
    <t>Nguyễn Văn A</t>
  </si>
  <si>
    <t xml:space="preserve">Hà Tĩnh </t>
  </si>
  <si>
    <t xml:space="preserve">Máy hút =Bụi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</si>
</sst>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VND]\ * #,##0_);_([$VND]\ * \(#,##0\);_([$VND]\ 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0" borderId="0" xfId="0" applyNumberFormat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AE9-442C-4C4A-B9AB-F07CA2BEAB95}">
  <dimension ref="A1"/>
  <sheetViews>
    <sheetView workbookViewId="0">
      <selection activeCell="E6" sqref="E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A614-5534-4640-91EF-01303D2981B7}">
  <sheetPr codeName="Sheet1"/>
  <dimension ref="A1:P13"/>
  <sheetViews>
    <sheetView tabSelected="1" zoomScaleNormal="100" workbookViewId="0">
      <selection activeCell="G8" sqref="G8"/>
    </sheetView>
  </sheetViews>
  <sheetFormatPr defaultRowHeight="14.5" x14ac:dyDescent="0.35"/>
  <cols>
    <col min="1" max="1" width="13.54296875" customWidth="1"/>
    <col min="2" max="2" width="6.54296875" customWidth="1"/>
    <col min="3" max="3" width="7.6328125" customWidth="1"/>
    <col min="4" max="4" width="17.1796875" customWidth="1"/>
    <col min="5" max="5" width="19.08984375" customWidth="1"/>
    <col min="6" max="6" width="18.453125" customWidth="1"/>
    <col min="7" max="7" width="20" customWidth="1"/>
    <col min="8" max="8" width="19" customWidth="1"/>
    <col min="11" max="11" width="19.36328125" customWidth="1"/>
  </cols>
  <sheetData>
    <row r="1" spans="1:16" x14ac:dyDescent="0.35">
      <c r="A1" s="6" t="e" cm="1">
        <f t="array" ref="A1">BẢNG TÍNH TIỀN NHẬP HÀNG</f>
        <v>#NAME?</v>
      </c>
      <c r="B1" s="7"/>
      <c r="C1" s="7"/>
      <c r="D1" s="7"/>
      <c r="E1" s="7"/>
      <c r="F1" s="7"/>
      <c r="G1" s="7"/>
      <c r="H1" s="8"/>
    </row>
    <row r="2" spans="1:16" ht="34.5" customHeight="1" x14ac:dyDescent="0.35">
      <c r="A2" s="4" t="s">
        <v>0</v>
      </c>
      <c r="B2" s="5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6" x14ac:dyDescent="0.35">
      <c r="A3" s="1" t="s">
        <v>8</v>
      </c>
      <c r="B3" s="1" t="s">
        <v>13</v>
      </c>
      <c r="C3" s="1">
        <v>25</v>
      </c>
      <c r="D3" s="2">
        <v>400000</v>
      </c>
      <c r="E3" s="2">
        <v>10000000</v>
      </c>
      <c r="F3" s="2">
        <v>1000000</v>
      </c>
      <c r="G3" s="2">
        <v>12659883</v>
      </c>
      <c r="H3" s="2">
        <v>23659884</v>
      </c>
    </row>
    <row r="4" spans="1:16" x14ac:dyDescent="0.35">
      <c r="A4" s="1" t="s">
        <v>9</v>
      </c>
      <c r="B4" s="1" t="e" cm="1">
        <f t="array" ref="B4">B</f>
        <v>#NAME?</v>
      </c>
      <c r="C4" s="1">
        <v>45</v>
      </c>
      <c r="D4" s="2">
        <v>700000</v>
      </c>
      <c r="E4" s="2">
        <v>31500000</v>
      </c>
      <c r="F4" s="2">
        <v>6300000</v>
      </c>
      <c r="G4" s="2">
        <v>22787790</v>
      </c>
      <c r="H4" s="2">
        <v>60587791</v>
      </c>
      <c r="M4" s="1">
        <f>B1</f>
        <v>0</v>
      </c>
      <c r="N4" s="1" t="str">
        <f>B2</f>
        <v xml:space="preserve">Loại hàng </v>
      </c>
      <c r="O4" s="1" t="str">
        <f>B3</f>
        <v>A</v>
      </c>
      <c r="P4" s="1" t="e">
        <f>B4</f>
        <v>#NAME?</v>
      </c>
    </row>
    <row r="5" spans="1:16" x14ac:dyDescent="0.35">
      <c r="A5" s="1" t="s">
        <v>10</v>
      </c>
      <c r="B5" s="1" t="s">
        <v>14</v>
      </c>
      <c r="C5" s="1">
        <v>55</v>
      </c>
      <c r="D5" s="2">
        <v>8000000</v>
      </c>
      <c r="E5" s="2">
        <v>440000000</v>
      </c>
      <c r="F5" s="2">
        <v>132000000</v>
      </c>
      <c r="G5" s="2">
        <v>27851744</v>
      </c>
      <c r="H5" s="2">
        <v>599851744</v>
      </c>
      <c r="K5" t="s">
        <v>16</v>
      </c>
      <c r="M5" s="1" t="str">
        <f>B5</f>
        <v xml:space="preserve">C </v>
      </c>
      <c r="N5" s="1" t="e">
        <f>B6</f>
        <v>#NAME?</v>
      </c>
      <c r="O5" s="1" t="str">
        <f>B7</f>
        <v>D</v>
      </c>
      <c r="P5" s="1" t="str">
        <f>B8</f>
        <v>A</v>
      </c>
    </row>
    <row r="6" spans="1:16" x14ac:dyDescent="0.35">
      <c r="A6" s="1" t="s">
        <v>11</v>
      </c>
      <c r="B6" s="1" t="e" cm="1">
        <f t="array" ref="B6">B</f>
        <v>#NAME?</v>
      </c>
      <c r="C6" s="1">
        <v>64</v>
      </c>
      <c r="D6" s="2">
        <v>7000000</v>
      </c>
      <c r="E6" s="2">
        <v>448000000</v>
      </c>
      <c r="F6" s="2">
        <v>89600000</v>
      </c>
      <c r="G6" s="2">
        <v>32409302</v>
      </c>
      <c r="H6" s="2">
        <v>570009302</v>
      </c>
      <c r="K6" s="10">
        <v>1995</v>
      </c>
      <c r="M6" s="1">
        <f>B9</f>
        <v>0</v>
      </c>
      <c r="N6" s="1">
        <f>B10</f>
        <v>0</v>
      </c>
      <c r="O6" s="1">
        <f>B11</f>
        <v>0</v>
      </c>
      <c r="P6" s="1">
        <f>B12</f>
        <v>0</v>
      </c>
    </row>
    <row r="7" spans="1:16" x14ac:dyDescent="0.35">
      <c r="A7" s="1" t="s">
        <v>12</v>
      </c>
      <c r="B7" s="1" t="s">
        <v>15</v>
      </c>
      <c r="C7" s="1">
        <v>75</v>
      </c>
      <c r="D7" s="2">
        <v>5500000</v>
      </c>
      <c r="E7" s="2">
        <v>412500000</v>
      </c>
      <c r="F7" s="2">
        <v>0</v>
      </c>
      <c r="G7" s="2">
        <v>37979651</v>
      </c>
      <c r="H7" s="2">
        <v>450479651</v>
      </c>
      <c r="K7" t="e" cm="1">
        <f t="array" ref="K7">Bình Lộc</f>
        <v>#NAME?</v>
      </c>
      <c r="M7" s="1">
        <f>B13</f>
        <v>0</v>
      </c>
      <c r="N7" s="1">
        <f>B14</f>
        <v>0</v>
      </c>
      <c r="O7" s="1">
        <f>B15</f>
        <v>0</v>
      </c>
      <c r="P7" s="1">
        <f>B16</f>
        <v>0</v>
      </c>
    </row>
    <row r="8" spans="1:16" x14ac:dyDescent="0.35">
      <c r="A8" s="1" t="s">
        <v>18</v>
      </c>
      <c r="B8" s="1" t="s">
        <v>13</v>
      </c>
      <c r="C8" s="1">
        <v>80</v>
      </c>
      <c r="D8" s="2">
        <v>5000000</v>
      </c>
      <c r="E8" s="2">
        <v>400000000</v>
      </c>
      <c r="F8" s="2">
        <v>40000000</v>
      </c>
      <c r="G8" s="2">
        <v>40511627</v>
      </c>
      <c r="H8" s="2">
        <v>480511628</v>
      </c>
      <c r="K8" t="s">
        <v>17</v>
      </c>
      <c r="M8" s="1">
        <f>B17</f>
        <v>0</v>
      </c>
      <c r="N8" s="1">
        <f>B18</f>
        <v>0</v>
      </c>
      <c r="O8" s="1">
        <f>B19</f>
        <v>0</v>
      </c>
      <c r="P8" s="1">
        <f>B20</f>
        <v>0</v>
      </c>
    </row>
    <row r="9" spans="1:16" x14ac:dyDescent="0.35">
      <c r="A9" s="1"/>
      <c r="B9" s="1"/>
      <c r="C9" s="1">
        <f t="shared" ref="C9" si="0">SUM(C3:C8)</f>
        <v>344</v>
      </c>
      <c r="D9" s="3">
        <f>SUM(D3:D8)</f>
        <v>26600000</v>
      </c>
      <c r="E9" s="3">
        <f>SUM(E3:E8)</f>
        <v>1742000000</v>
      </c>
      <c r="F9" s="3">
        <f>SUM(F3:F8)</f>
        <v>268900000</v>
      </c>
      <c r="G9" s="3">
        <f>SUM(G3:G8)</f>
        <v>174199997</v>
      </c>
      <c r="H9" s="3">
        <f>SUM(H3:H8)</f>
        <v>2185100000</v>
      </c>
      <c r="M9" s="1">
        <f>B21</f>
        <v>0</v>
      </c>
      <c r="N9" s="1">
        <f>B22</f>
        <v>0</v>
      </c>
      <c r="O9" s="1">
        <f>B23</f>
        <v>0</v>
      </c>
      <c r="P9" s="1">
        <f>B24</f>
        <v>0</v>
      </c>
    </row>
    <row r="10" spans="1:16" x14ac:dyDescent="0.35">
      <c r="M10" s="1">
        <f>B25</f>
        <v>0</v>
      </c>
      <c r="N10" s="1">
        <f>B26</f>
        <v>0</v>
      </c>
      <c r="O10" s="1">
        <f>B27</f>
        <v>0</v>
      </c>
      <c r="P10" s="1">
        <f>B28</f>
        <v>0</v>
      </c>
    </row>
    <row r="11" spans="1:16" x14ac:dyDescent="0.35">
      <c r="D11" s="9">
        <f>MAX(D3:D8)</f>
        <v>8000000</v>
      </c>
      <c r="M11" s="1">
        <f>B29</f>
        <v>0</v>
      </c>
      <c r="N11" s="1">
        <f>B30</f>
        <v>0</v>
      </c>
      <c r="O11" s="1">
        <f>B31</f>
        <v>0</v>
      </c>
      <c r="P11" s="1">
        <f>B32</f>
        <v>0</v>
      </c>
    </row>
    <row r="12" spans="1:16" x14ac:dyDescent="0.35">
      <c r="D12" s="9">
        <f>MIN(D3:D8)</f>
        <v>400000</v>
      </c>
      <c r="M12" s="1">
        <f>B33</f>
        <v>0</v>
      </c>
      <c r="N12" s="1">
        <f>B34</f>
        <v>0</v>
      </c>
      <c r="O12" s="1">
        <f>B35</f>
        <v>0</v>
      </c>
      <c r="P12" s="1">
        <f>B36</f>
        <v>0</v>
      </c>
    </row>
    <row r="13" spans="1:16" x14ac:dyDescent="0.35">
      <c r="M13" s="1">
        <f>B37</f>
        <v>0</v>
      </c>
      <c r="N13" s="1">
        <f>B38</f>
        <v>0</v>
      </c>
      <c r="O13" s="1">
        <f>B39</f>
        <v>0</v>
      </c>
      <c r="P13" s="1">
        <f>B40</f>
        <v>0</v>
      </c>
    </row>
  </sheetData>
  <mergeCells count="1">
    <mergeCell ref="A1:H1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2026-07-27T02:25:31Z</dcterms:created>
  <dcterms:modified xsi:type="dcterms:W3CDTF">2026-07-31T10:22:28Z</dcterms:modified>
</cp:coreProperties>
</file>