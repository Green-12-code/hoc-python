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9C24C16-0120-42F0-A7DF-8A61795E631B}" xr6:coauthVersionLast="47" xr6:coauthVersionMax="47" xr10:uidLastSave="{00000000-0000-0000-0000-000000000000}"/>
  <bookViews>
    <workbookView xWindow="-110" yWindow="-110" windowWidth="19420" windowHeight="11500" xr2:uid="{C2411526-55D1-4CB3-94D1-94DB8CB4F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" l="1"/>
  <c r="N4" i="1"/>
  <c r="L15" i="1"/>
  <c r="M15" i="1"/>
  <c r="N5" i="1"/>
  <c r="N6" i="1"/>
  <c r="N7" i="1"/>
  <c r="N8" i="1"/>
  <c r="N9" i="1"/>
  <c r="N10" i="1"/>
  <c r="N11" i="1"/>
  <c r="N12" i="1"/>
  <c r="N13" i="1"/>
  <c r="N14" i="1"/>
  <c r="K15" i="1"/>
  <c r="E15" i="1" l="1"/>
  <c r="F15" i="1"/>
  <c r="G15" i="1"/>
  <c r="H15" i="1"/>
  <c r="I15" i="1"/>
  <c r="J15" i="1"/>
  <c r="A5" i="1"/>
  <c r="A6" i="1"/>
  <c r="A7" i="1"/>
  <c r="A8" i="1"/>
  <c r="A9" i="1"/>
  <c r="A10" i="1"/>
  <c r="A11" i="1"/>
  <c r="A12" i="1"/>
  <c r="A13" i="1"/>
  <c r="A14" i="1"/>
  <c r="A15" i="1"/>
  <c r="A4" i="1"/>
</calcChain>
</file>

<file path=xl/sharedStrings.xml><?xml version="1.0" encoding="utf-8"?>
<sst xmlns="http://schemas.openxmlformats.org/spreadsheetml/2006/main" count="56" uniqueCount="39">
  <si>
    <t>STT</t>
  </si>
  <si>
    <t xml:space="preserve">Tên tài sản cố định </t>
  </si>
  <si>
    <t>Mã số TSCĐ</t>
  </si>
  <si>
    <t xml:space="preserve">Nơi sử dụng </t>
  </si>
  <si>
    <t xml:space="preserve">Theo số kế toán </t>
  </si>
  <si>
    <t>Số lượng</t>
  </si>
  <si>
    <t>Nguyên Giá</t>
  </si>
  <si>
    <t>Giá trị còn lại</t>
  </si>
  <si>
    <t xml:space="preserve">Nguyên Giá </t>
  </si>
  <si>
    <t xml:space="preserve">Theo kiểm kê </t>
  </si>
  <si>
    <t>Ghi chú</t>
  </si>
  <si>
    <t>Chêch lệch</t>
  </si>
  <si>
    <t xml:space="preserve">Số lượng </t>
  </si>
  <si>
    <t>Nguyên giá</t>
  </si>
  <si>
    <t>A</t>
  </si>
  <si>
    <t xml:space="preserve">B </t>
  </si>
  <si>
    <t>C</t>
  </si>
  <si>
    <t>D</t>
  </si>
  <si>
    <t>E</t>
  </si>
  <si>
    <t xml:space="preserve">Hệ thống tủ gỗ </t>
  </si>
  <si>
    <t xml:space="preserve">Lô case máy tính làm việc </t>
  </si>
  <si>
    <t>Quạt điều hòa DAIKO</t>
  </si>
  <si>
    <t>Quạt điều hòa DAIKIN</t>
  </si>
  <si>
    <t xml:space="preserve">Tài sản đặc biệt </t>
  </si>
  <si>
    <t xml:space="preserve">Kho chứa hàng </t>
  </si>
  <si>
    <t>Kè bên sông</t>
  </si>
  <si>
    <t>TS000006</t>
  </si>
  <si>
    <t>TSLO.01</t>
  </si>
  <si>
    <t>TSLO.02</t>
  </si>
  <si>
    <t>TSLO.03</t>
  </si>
  <si>
    <t>TSLO.04</t>
  </si>
  <si>
    <t>TSLO.05</t>
  </si>
  <si>
    <t>TSTU07</t>
  </si>
  <si>
    <t>TSVH3</t>
  </si>
  <si>
    <t>TSXE000010</t>
  </si>
  <si>
    <t>TSXE000013</t>
  </si>
  <si>
    <t>TSXE000014</t>
  </si>
  <si>
    <t>Phòng Y tế</t>
  </si>
  <si>
    <t>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</si>
</sst>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&quot;.&quot;000&quot;.&quot;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3" borderId="0" xfId="0" applyFill="1"/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/>
    <xf numFmtId="37" fontId="4" fillId="0" borderId="2" xfId="0" applyNumberFormat="1" applyFont="1" applyBorder="1" applyAlignment="1">
      <alignment horizontal="center" vertical="center"/>
    </xf>
    <xf numFmtId="37" fontId="4" fillId="0" borderId="3" xfId="0" applyNumberFormat="1" applyFont="1" applyBorder="1" applyAlignment="1">
      <alignment horizontal="center" vertical="center"/>
    </xf>
    <xf numFmtId="41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23D2-A2A4-4574-87C4-6B2557C59B75}">
  <dimension ref="A1:N51"/>
  <sheetViews>
    <sheetView tabSelected="1" zoomScale="86" zoomScaleNormal="86" workbookViewId="0">
      <selection activeCell="I19" sqref="I19"/>
    </sheetView>
  </sheetViews>
  <sheetFormatPr defaultRowHeight="14.5" x14ac:dyDescent="0.35"/>
  <cols>
    <col min="1" max="1" width="5.6328125" customWidth="1"/>
    <col min="2" max="2" width="28.1796875" customWidth="1"/>
    <col min="3" max="3" width="15.08984375" customWidth="1"/>
    <col min="4" max="4" width="15.36328125" customWidth="1"/>
    <col min="5" max="5" width="7.36328125" customWidth="1"/>
    <col min="6" max="6" width="15.36328125" customWidth="1"/>
    <col min="7" max="7" width="13" customWidth="1"/>
    <col min="8" max="8" width="6.81640625" customWidth="1"/>
    <col min="9" max="9" width="16.81640625" customWidth="1"/>
    <col min="10" max="10" width="16" customWidth="1"/>
    <col min="11" max="11" width="17" customWidth="1"/>
    <col min="12" max="12" width="16" customWidth="1"/>
    <col min="13" max="13" width="14" customWidth="1"/>
    <col min="14" max="14" width="18.36328125" customWidth="1"/>
  </cols>
  <sheetData>
    <row r="1" spans="1:14" ht="21" customHeigh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/>
      <c r="G1" s="14"/>
      <c r="H1" s="12" t="s">
        <v>9</v>
      </c>
      <c r="I1" s="13"/>
      <c r="J1" s="14"/>
      <c r="K1" s="12" t="s">
        <v>11</v>
      </c>
      <c r="L1" s="13"/>
      <c r="M1" s="14"/>
      <c r="N1" s="11" t="s">
        <v>10</v>
      </c>
    </row>
    <row r="2" spans="1:14" ht="28.5" customHeight="1" x14ac:dyDescent="0.35">
      <c r="A2" s="15"/>
      <c r="B2" s="15"/>
      <c r="C2" s="15"/>
      <c r="D2" s="15"/>
      <c r="E2" s="16" t="s">
        <v>5</v>
      </c>
      <c r="F2" s="16" t="s">
        <v>6</v>
      </c>
      <c r="G2" s="17" t="s">
        <v>7</v>
      </c>
      <c r="H2" s="16" t="s">
        <v>5</v>
      </c>
      <c r="I2" s="17" t="s">
        <v>8</v>
      </c>
      <c r="J2" s="17" t="s">
        <v>7</v>
      </c>
      <c r="K2" s="16" t="s">
        <v>12</v>
      </c>
      <c r="L2" s="16" t="s">
        <v>13</v>
      </c>
      <c r="M2" s="17" t="s">
        <v>7</v>
      </c>
      <c r="N2" s="15"/>
    </row>
    <row r="3" spans="1:14" x14ac:dyDescent="0.35">
      <c r="A3" s="18" t="s">
        <v>14</v>
      </c>
      <c r="B3" s="18" t="s">
        <v>15</v>
      </c>
      <c r="C3" s="18" t="s">
        <v>16</v>
      </c>
      <c r="D3" s="18" t="s">
        <v>17</v>
      </c>
      <c r="E3" s="18">
        <v>1</v>
      </c>
      <c r="F3" s="18">
        <v>2</v>
      </c>
      <c r="G3" s="18">
        <v>3</v>
      </c>
      <c r="H3" s="18">
        <v>4</v>
      </c>
      <c r="I3" s="18">
        <v>5</v>
      </c>
      <c r="J3" s="18">
        <v>6</v>
      </c>
      <c r="K3" s="18">
        <v>7</v>
      </c>
      <c r="L3" s="18">
        <v>8</v>
      </c>
      <c r="M3" s="18">
        <v>9</v>
      </c>
      <c r="N3" s="18" t="s">
        <v>18</v>
      </c>
    </row>
    <row r="4" spans="1:14" x14ac:dyDescent="0.35">
      <c r="A4" s="5">
        <f>IF(B4="","",ROW()-3)</f>
        <v>1</v>
      </c>
      <c r="B4" s="3" t="s">
        <v>19</v>
      </c>
      <c r="C4" s="3" t="s">
        <v>26</v>
      </c>
      <c r="D4" s="3" t="s">
        <v>37</v>
      </c>
      <c r="E4" s="5">
        <v>1</v>
      </c>
      <c r="F4" s="6">
        <v>600000000</v>
      </c>
      <c r="G4" s="6"/>
      <c r="H4" s="19">
        <v>1</v>
      </c>
      <c r="I4" s="6">
        <v>600000000</v>
      </c>
      <c r="J4" s="6"/>
      <c r="K4" s="5">
        <v>2</v>
      </c>
      <c r="L4" s="6">
        <v>600000000</v>
      </c>
      <c r="M4" s="6"/>
      <c r="N4" s="24">
        <f>SUM(F4+G4+I4+J4+L4+M4)</f>
        <v>1800000000</v>
      </c>
    </row>
    <row r="5" spans="1:14" x14ac:dyDescent="0.35">
      <c r="A5" s="5">
        <f t="shared" ref="A5:A17" si="0">IF(B5="","",ROW()-3)</f>
        <v>2</v>
      </c>
      <c r="B5" s="3" t="s">
        <v>20</v>
      </c>
      <c r="C5" s="3" t="s">
        <v>27</v>
      </c>
      <c r="D5" s="3" t="s">
        <v>37</v>
      </c>
      <c r="E5" s="5">
        <v>1</v>
      </c>
      <c r="F5" s="6">
        <v>2000000</v>
      </c>
      <c r="G5" s="6">
        <v>1200000</v>
      </c>
      <c r="H5" s="19">
        <v>1</v>
      </c>
      <c r="I5" s="6">
        <v>2000000</v>
      </c>
      <c r="J5" s="6">
        <v>1200000</v>
      </c>
      <c r="K5" s="1">
        <v>3</v>
      </c>
      <c r="L5" s="6">
        <v>2000000</v>
      </c>
      <c r="M5" s="6">
        <v>1200000</v>
      </c>
      <c r="N5" s="24">
        <f t="shared" ref="N5:N14" si="1">SUM(F5+G5+I5+J5+L5+M5)</f>
        <v>9600000</v>
      </c>
    </row>
    <row r="6" spans="1:14" x14ac:dyDescent="0.35">
      <c r="A6" s="5">
        <f t="shared" si="0"/>
        <v>3</v>
      </c>
      <c r="B6" s="3" t="s">
        <v>20</v>
      </c>
      <c r="C6" s="3" t="s">
        <v>28</v>
      </c>
      <c r="D6" s="3" t="s">
        <v>37</v>
      </c>
      <c r="E6" s="5">
        <v>1</v>
      </c>
      <c r="F6" s="6">
        <v>2000000</v>
      </c>
      <c r="G6" s="6">
        <v>1200000</v>
      </c>
      <c r="H6" s="19">
        <v>1</v>
      </c>
      <c r="I6" s="6">
        <v>2000000</v>
      </c>
      <c r="J6" s="6">
        <v>1200000</v>
      </c>
      <c r="K6" s="1">
        <v>2</v>
      </c>
      <c r="L6" s="6">
        <v>2000000</v>
      </c>
      <c r="M6" s="6">
        <v>1200000</v>
      </c>
      <c r="N6" s="24">
        <f t="shared" si="1"/>
        <v>9600000</v>
      </c>
    </row>
    <row r="7" spans="1:14" x14ac:dyDescent="0.35">
      <c r="A7" s="5">
        <f t="shared" si="0"/>
        <v>4</v>
      </c>
      <c r="B7" s="3" t="s">
        <v>20</v>
      </c>
      <c r="C7" s="3" t="s">
        <v>29</v>
      </c>
      <c r="D7" s="3" t="s">
        <v>37</v>
      </c>
      <c r="E7" s="5">
        <v>1</v>
      </c>
      <c r="F7" s="6">
        <v>2000000</v>
      </c>
      <c r="G7" s="6">
        <v>1200000</v>
      </c>
      <c r="H7" s="19">
        <v>1</v>
      </c>
      <c r="I7" s="6">
        <v>2000000</v>
      </c>
      <c r="J7" s="6">
        <v>1200000</v>
      </c>
      <c r="K7" s="1">
        <v>3</v>
      </c>
      <c r="L7" s="6">
        <v>2000000</v>
      </c>
      <c r="M7" s="6">
        <v>1200000</v>
      </c>
      <c r="N7" s="24">
        <f t="shared" si="1"/>
        <v>9600000</v>
      </c>
    </row>
    <row r="8" spans="1:14" x14ac:dyDescent="0.35">
      <c r="A8" s="5">
        <f t="shared" si="0"/>
        <v>5</v>
      </c>
      <c r="B8" s="3" t="s">
        <v>20</v>
      </c>
      <c r="C8" s="3" t="s">
        <v>30</v>
      </c>
      <c r="D8" s="3" t="s">
        <v>37</v>
      </c>
      <c r="E8" s="5">
        <v>1</v>
      </c>
      <c r="F8" s="6">
        <v>2000000</v>
      </c>
      <c r="G8" s="6">
        <v>1200000</v>
      </c>
      <c r="H8" s="19">
        <v>1</v>
      </c>
      <c r="I8" s="6">
        <v>2000000</v>
      </c>
      <c r="J8" s="6">
        <v>1200000</v>
      </c>
      <c r="K8" s="1">
        <v>2</v>
      </c>
      <c r="L8" s="6">
        <v>2000000</v>
      </c>
      <c r="M8" s="6">
        <v>1200000</v>
      </c>
      <c r="N8" s="24">
        <f t="shared" si="1"/>
        <v>9600000</v>
      </c>
    </row>
    <row r="9" spans="1:14" x14ac:dyDescent="0.35">
      <c r="A9" s="5">
        <f t="shared" si="0"/>
        <v>6</v>
      </c>
      <c r="B9" s="3" t="s">
        <v>20</v>
      </c>
      <c r="C9" s="3" t="s">
        <v>31</v>
      </c>
      <c r="D9" s="3" t="s">
        <v>37</v>
      </c>
      <c r="E9" s="5">
        <v>1</v>
      </c>
      <c r="F9" s="6">
        <v>2000000</v>
      </c>
      <c r="G9" s="6">
        <v>1200000</v>
      </c>
      <c r="H9" s="19">
        <v>1</v>
      </c>
      <c r="I9" s="6">
        <v>2000000</v>
      </c>
      <c r="J9" s="6">
        <v>1200000</v>
      </c>
      <c r="K9" s="1">
        <v>2</v>
      </c>
      <c r="L9" s="6">
        <v>2000000</v>
      </c>
      <c r="M9" s="6">
        <v>1200000</v>
      </c>
      <c r="N9" s="24">
        <f t="shared" si="1"/>
        <v>9600000</v>
      </c>
    </row>
    <row r="10" spans="1:14" x14ac:dyDescent="0.35">
      <c r="A10" s="5">
        <f t="shared" si="0"/>
        <v>7</v>
      </c>
      <c r="B10" s="3" t="s">
        <v>21</v>
      </c>
      <c r="C10" s="3" t="s">
        <v>32</v>
      </c>
      <c r="D10" s="3" t="s">
        <v>37</v>
      </c>
      <c r="E10" s="5">
        <v>1</v>
      </c>
      <c r="F10" s="6">
        <v>12000000</v>
      </c>
      <c r="G10" s="6">
        <v>9600000</v>
      </c>
      <c r="H10" s="19">
        <v>1</v>
      </c>
      <c r="I10" s="6">
        <v>12000000</v>
      </c>
      <c r="J10" s="6">
        <v>9600000</v>
      </c>
      <c r="K10" s="1">
        <v>3</v>
      </c>
      <c r="L10" s="6">
        <v>12000000</v>
      </c>
      <c r="M10" s="6">
        <v>9600000</v>
      </c>
      <c r="N10" s="24">
        <f t="shared" si="1"/>
        <v>64800000</v>
      </c>
    </row>
    <row r="11" spans="1:14" x14ac:dyDescent="0.35">
      <c r="A11" s="5">
        <f t="shared" si="0"/>
        <v>8</v>
      </c>
      <c r="B11" s="3" t="s">
        <v>22</v>
      </c>
      <c r="C11" s="3" t="s">
        <v>33</v>
      </c>
      <c r="D11" s="3" t="s">
        <v>37</v>
      </c>
      <c r="E11" s="5">
        <v>1</v>
      </c>
      <c r="F11" s="6">
        <v>9600000</v>
      </c>
      <c r="G11" s="6">
        <v>3840000</v>
      </c>
      <c r="H11" s="19">
        <v>1</v>
      </c>
      <c r="I11" s="6">
        <v>9600000</v>
      </c>
      <c r="J11" s="6">
        <v>3840000</v>
      </c>
      <c r="K11" s="1">
        <v>4</v>
      </c>
      <c r="L11" s="6">
        <v>9600000</v>
      </c>
      <c r="M11" s="6">
        <v>3840000</v>
      </c>
      <c r="N11" s="24">
        <f t="shared" si="1"/>
        <v>40320000</v>
      </c>
    </row>
    <row r="12" spans="1:14" x14ac:dyDescent="0.35">
      <c r="A12" s="5">
        <f t="shared" si="0"/>
        <v>9</v>
      </c>
      <c r="B12" s="3" t="s">
        <v>23</v>
      </c>
      <c r="C12" s="3" t="s">
        <v>34</v>
      </c>
      <c r="D12" s="3" t="s">
        <v>37</v>
      </c>
      <c r="E12" s="5">
        <v>1</v>
      </c>
      <c r="F12" s="6">
        <v>350000000</v>
      </c>
      <c r="G12" s="6">
        <v>350000000</v>
      </c>
      <c r="H12" s="19">
        <v>1</v>
      </c>
      <c r="I12" s="6">
        <v>350000000</v>
      </c>
      <c r="J12" s="6">
        <v>350000000</v>
      </c>
      <c r="K12" s="1">
        <v>2</v>
      </c>
      <c r="L12" s="6">
        <v>350000000</v>
      </c>
      <c r="M12" s="6">
        <v>350000000</v>
      </c>
      <c r="N12" s="24">
        <f t="shared" si="1"/>
        <v>2100000000</v>
      </c>
    </row>
    <row r="13" spans="1:14" x14ac:dyDescent="0.35">
      <c r="A13" s="5">
        <f t="shared" si="0"/>
        <v>10</v>
      </c>
      <c r="B13" s="3" t="s">
        <v>24</v>
      </c>
      <c r="C13" s="3" t="s">
        <v>35</v>
      </c>
      <c r="D13" s="3" t="s">
        <v>37</v>
      </c>
      <c r="E13" s="5">
        <v>1</v>
      </c>
      <c r="F13" s="6">
        <v>680000000</v>
      </c>
      <c r="G13" s="6">
        <v>612000000</v>
      </c>
      <c r="H13" s="19">
        <v>1</v>
      </c>
      <c r="I13" s="6">
        <v>680000000</v>
      </c>
      <c r="J13" s="6">
        <v>612000000</v>
      </c>
      <c r="K13" s="1">
        <v>2</v>
      </c>
      <c r="L13" s="6">
        <v>680000000</v>
      </c>
      <c r="M13" s="6">
        <v>612000000</v>
      </c>
      <c r="N13" s="24">
        <f t="shared" si="1"/>
        <v>3876000000</v>
      </c>
    </row>
    <row r="14" spans="1:14" x14ac:dyDescent="0.35">
      <c r="A14" s="5">
        <f t="shared" si="0"/>
        <v>11</v>
      </c>
      <c r="B14" s="3" t="s">
        <v>25</v>
      </c>
      <c r="C14" s="3" t="s">
        <v>36</v>
      </c>
      <c r="D14" s="3" t="s">
        <v>37</v>
      </c>
      <c r="E14" s="5">
        <v>1</v>
      </c>
      <c r="F14" s="6">
        <v>600000000</v>
      </c>
      <c r="G14" s="6">
        <v>600000000</v>
      </c>
      <c r="H14" s="19">
        <v>1</v>
      </c>
      <c r="I14" s="6">
        <v>600000000</v>
      </c>
      <c r="J14" s="6">
        <v>600000000</v>
      </c>
      <c r="K14" s="1">
        <v>4</v>
      </c>
      <c r="L14" s="6">
        <v>600000000</v>
      </c>
      <c r="M14" s="6">
        <v>600000000</v>
      </c>
      <c r="N14" s="24">
        <f t="shared" si="1"/>
        <v>3600000000</v>
      </c>
    </row>
    <row r="15" spans="1:14" x14ac:dyDescent="0.35">
      <c r="A15" s="2" t="str">
        <f>IF(B16="","",ROW()-3)</f>
        <v/>
      </c>
      <c r="B15" s="20" t="s">
        <v>38</v>
      </c>
      <c r="C15" s="2"/>
      <c r="D15" s="2"/>
      <c r="E15" s="7">
        <f>SUM(E4:E14)</f>
        <v>11</v>
      </c>
      <c r="F15" s="8">
        <f>SUM(F4:F14)</f>
        <v>2261600000</v>
      </c>
      <c r="G15" s="8">
        <f>SUM(G4:G14)</f>
        <v>1581440000</v>
      </c>
      <c r="H15" s="8">
        <f>SUM(H4:H14)</f>
        <v>11</v>
      </c>
      <c r="I15" s="8">
        <f>SUM(I4:I14)</f>
        <v>2261600000</v>
      </c>
      <c r="J15" s="8">
        <f>SUM(J4:J14)</f>
        <v>1581440000</v>
      </c>
      <c r="K15" s="23">
        <f>SUM(K4:K14)</f>
        <v>29</v>
      </c>
      <c r="L15" s="25">
        <f>SUM(L4:L14)</f>
        <v>2261600000</v>
      </c>
      <c r="M15" s="25">
        <f>SUM(M4:M14)</f>
        <v>1581440000</v>
      </c>
      <c r="N15" s="27">
        <f>SUM(N4:N14)</f>
        <v>11529120000</v>
      </c>
    </row>
    <row r="16" spans="1:14" x14ac:dyDescent="0.35">
      <c r="A16" s="4"/>
      <c r="B16" s="21"/>
      <c r="C16" s="4"/>
      <c r="D16" s="4"/>
      <c r="E16" s="9"/>
      <c r="F16" s="10"/>
      <c r="G16" s="10"/>
      <c r="H16" s="10"/>
      <c r="I16" s="10"/>
      <c r="J16" s="10"/>
      <c r="K16" s="23"/>
      <c r="L16" s="26"/>
      <c r="M16" s="26"/>
      <c r="N16" s="9"/>
    </row>
    <row r="44" spans="7:7" x14ac:dyDescent="0.35">
      <c r="G44" s="22"/>
    </row>
    <row r="51" spans="7:7" x14ac:dyDescent="0.35">
      <c r="G51" s="22"/>
    </row>
  </sheetData>
  <mergeCells count="22">
    <mergeCell ref="M15:M16"/>
    <mergeCell ref="N15:N16"/>
    <mergeCell ref="G15:G16"/>
    <mergeCell ref="H15:H16"/>
    <mergeCell ref="I15:I16"/>
    <mergeCell ref="J15:J16"/>
    <mergeCell ref="K15:K16"/>
    <mergeCell ref="L15:L16"/>
    <mergeCell ref="E1:G1"/>
    <mergeCell ref="H1:J1"/>
    <mergeCell ref="K1:M1"/>
    <mergeCell ref="N1:N2"/>
    <mergeCell ref="A15:A16"/>
    <mergeCell ref="B15:B16"/>
    <mergeCell ref="C15:C16"/>
    <mergeCell ref="D15:D16"/>
    <mergeCell ref="E15:E16"/>
    <mergeCell ref="F15:F16"/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2026-07-29T02:39:33Z</dcterms:created>
  <dcterms:modified xsi:type="dcterms:W3CDTF">2026-07-29T09:52:10Z</dcterms:modified>
</cp:coreProperties>
</file>